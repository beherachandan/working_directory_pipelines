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 - jan5" sheetId="1" r:id="rId5"/>
    <sheet state="visible" name="list2 - jan8" sheetId="2" r:id="rId6"/>
    <sheet state="visible" name="list3 - jan12" sheetId="3" r:id="rId7"/>
    <sheet state="visible" name="list4 - jan22" sheetId="4" r:id="rId8"/>
    <sheet state="visible" name="list5 - jan22" sheetId="5" r:id="rId9"/>
  </sheets>
  <definedNames/>
  <calcPr/>
</workbook>
</file>

<file path=xl/sharedStrings.xml><?xml version="1.0" encoding="utf-8"?>
<sst xmlns="http://schemas.openxmlformats.org/spreadsheetml/2006/main" count="143" uniqueCount="65">
  <si>
    <t>File</t>
  </si>
  <si>
    <t>article number</t>
  </si>
  <si>
    <t>Vetted (10)</t>
  </si>
  <si>
    <t>pillars</t>
  </si>
  <si>
    <t>1. How Do I Turn a PDF into a Quiz Using AI: From Documents to Interactive Quizzes</t>
  </si>
  <si>
    <t>done</t>
  </si>
  <si>
    <t>generators</t>
  </si>
  <si>
    <t xml:space="preserve">2. AI Lesson Plan Generator for Elementary: Save Time, Spark Engagement </t>
  </si>
  <si>
    <t>lesson plan</t>
  </si>
  <si>
    <t>3. Writing Objectives for Lesson Plans Made Simple</t>
  </si>
  <si>
    <t>4. What Is the Anticipatory Set in a Lesson Plan? Examples and Best Practices</t>
  </si>
  <si>
    <t>5. Direct Instruction Lesson Plan Example: From Objectives to Assessment</t>
  </si>
  <si>
    <t>6. Lesson Plan Closure Examples: How to End Lessons with Impact</t>
  </si>
  <si>
    <t>31. Summative Assessment Tools: Features, Benefits, and Classroom Uses</t>
  </si>
  <si>
    <t>assessments</t>
  </si>
  <si>
    <t>27. What Are Summative Assessments? Examples, Advantages, and Classroom Strategies</t>
  </si>
  <si>
    <t>29. Summative Assessment Types Explained: From Tests to Projects</t>
  </si>
  <si>
    <t>20. Formative Assessment Types Explained And How to Use Them</t>
  </si>
  <si>
    <t>10. How to Ask Open-Ended Questions: 10 Best Examples</t>
  </si>
  <si>
    <t>question types</t>
  </si>
  <si>
    <t>14. What Are Hot Spot Questions? Benefits, Examples, and Classroom Tips</t>
  </si>
  <si>
    <t>16. What Are Matching Questions? Definition, Examples, and Classroom Strategies</t>
  </si>
  <si>
    <t>13. How to Write Multiple Choice Questions That Truly Measure Understanding</t>
  </si>
  <si>
    <t>Vetted</t>
  </si>
  <si>
    <t>34. What Are the Different Types of Diagnostic Assessment? A Teacher's Guide</t>
  </si>
  <si>
    <t>assessment</t>
  </si>
  <si>
    <t>v4</t>
  </si>
  <si>
    <t xml:space="preserve">23. Is an Exit Ticket a Formative Assessment? </t>
  </si>
  <si>
    <t xml:space="preserve">15. Bonus Questions for Exams That Engage Every Student0 </t>
  </si>
  <si>
    <t xml:space="preserve">26. Are Formative Assessments Graded? Understanding the Purpose and Practice0 </t>
  </si>
  <si>
    <t xml:space="preserve">9. How to Write Effective True or False Questions0 </t>
  </si>
  <si>
    <t xml:space="preserve">8. Types of Test Questions: How to Choose the Right Format for Every Learner0 </t>
  </si>
  <si>
    <t>v5</t>
  </si>
  <si>
    <t xml:space="preserve">25. What Is the Difference Between Formative and Summative Assessment in the Classroom? </t>
  </si>
  <si>
    <t xml:space="preserve">17. Education Assessment Methods Explained: From Formative to Peer Assessment </t>
  </si>
  <si>
    <t>18. What Are Formative Assessments? A Teacher's Guide</t>
  </si>
  <si>
    <t xml:space="preserve">11. 50 Poll Questions for Students That Spark Engagement in Any Classroom0 </t>
  </si>
  <si>
    <t>12. How to Design Fill-in-the-Blank Questions for Deeper Learning</t>
  </si>
  <si>
    <t>v6</t>
  </si>
  <si>
    <t xml:space="preserve">19. The Advantages and Disadvantages of Formative Assessments0 </t>
  </si>
  <si>
    <t xml:space="preserve">7. 10 Lesson Plan Assessment Examples You Should Try </t>
  </si>
  <si>
    <t>35. Diagnostic Assessment Examples: Practical Strategies for Every Classroom</t>
  </si>
  <si>
    <t>37. AI Report Card Comment Generator Made for Teachers</t>
  </si>
  <si>
    <t>generator</t>
  </si>
  <si>
    <t>21. Formative Assessment Examples &amp; Ideas Every Teacher Should Try</t>
  </si>
  <si>
    <t>22. 10 Formative Assessment Tools Every Teacher Should Know</t>
  </si>
  <si>
    <t>24. Exit Ticket Template: How to Use Them in Your Classroom</t>
  </si>
  <si>
    <t>28. Summative Assessments: Advantages &amp; Disadvantages Explained</t>
  </si>
  <si>
    <t>30. Summative Assessment Examples: A Complete Guide for Educators</t>
  </si>
  <si>
    <t xml:space="preserve">32. What Are Diagnostic Assessments? A Teacher's Guide </t>
  </si>
  <si>
    <t>33. Diagnostic Assessment Benefits (Advantages and Disadvantages): A Teacher's Guide</t>
  </si>
  <si>
    <t xml:space="preserve">36. Diagnostic Assessment Tools: Practical Strategies for Real Classrooms </t>
  </si>
  <si>
    <t>38. Email Response Generator: Streamlining School Communication for Busy Educators</t>
  </si>
  <si>
    <t>39. Classroom Activity Generator for Every Learner</t>
  </si>
  <si>
    <t>40. Grade Level Rewriter: Instantly Adapt Texts for Every Student</t>
  </si>
  <si>
    <t>41. Homework Translator for Inclusive Learning</t>
  </si>
  <si>
    <t>42. Word Problem Maker: Save Time and Boost Engagement Effortlessly</t>
  </si>
  <si>
    <t>43. DOK Question Generator: Save Time, Boost Engagement</t>
  </si>
  <si>
    <t>44. Bloom's Higher-Order Thinking Question Generator Made Simple</t>
  </si>
  <si>
    <t>45. AI Text Leveler: Making Reading Accessible for All Students</t>
  </si>
  <si>
    <t>46. Reading Fluency Passage Generator for Classrooms</t>
  </si>
  <si>
    <t>48. Real World Scenario Quiz Generator Built for Teachers</t>
  </si>
  <si>
    <t>49. Story-Based Problem Generator That Engages Every Learner</t>
  </si>
  <si>
    <t>50. Assignment Scaffolding Generator Built for Real Classrooms</t>
  </si>
  <si>
    <t>51. AI Grader for Fair, Fast Feedback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</si>
</sst>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readingOrder="0"/>
    </xf>
    <xf borderId="0" fillId="3" fontId="6" numFmtId="0" xfId="0" applyAlignment="1" applyFill="1" applyFont="1">
      <alignment readingOrder="0"/>
    </xf>
    <xf borderId="0" fillId="4" fontId="7" numFmtId="0" xfId="0" applyAlignment="1" applyFill="1" applyFont="1">
      <alignment readingOrder="0"/>
    </xf>
    <xf borderId="0" fillId="4" fontId="8" numFmtId="0" xfId="0" applyAlignment="1" applyFont="1">
      <alignment readingOrder="0" shrinkToFit="0" wrapText="1"/>
    </xf>
    <xf borderId="0" fillId="2" fontId="9" numFmtId="0" xfId="0" applyAlignment="1" applyFont="1">
      <alignment readingOrder="0" shrinkToFit="0" wrapText="1"/>
    </xf>
    <xf borderId="0" fillId="5" fontId="10" numFmtId="0" xfId="0" applyAlignment="1" applyFill="1" applyFont="1">
      <alignment readingOrder="0" shrinkToFit="0" wrapText="1"/>
    </xf>
    <xf borderId="0" fillId="6" fontId="11" numFmtId="0" xfId="0" applyAlignment="1" applyFill="1" applyFont="1">
      <alignment readingOrder="0" shrinkToFit="0" wrapText="1"/>
    </xf>
    <xf borderId="0" fillId="6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OFXYPNBF_yh7UD3bhxGITm0qoa6zT2sIUMCN0cNUFPA/edit?tab=t.0" TargetMode="External"/><Relationship Id="rId2" Type="http://schemas.openxmlformats.org/officeDocument/2006/relationships/hyperlink" Target="https://docs.google.com/document/d/1gJK1YQoLIlzWlmwrayLLnSXeUKI7cu3xI4m8Qtx0GO4/edit?tab=t.0" TargetMode="External"/><Relationship Id="rId3" Type="http://schemas.openxmlformats.org/officeDocument/2006/relationships/hyperlink" Target="https://docs.google.com/document/d/1STTnNmGXGaSFM2eSLGlju6aYLHAkltMg4_iCkWtVUa8/edit?tab=t.0" TargetMode="External"/><Relationship Id="rId4" Type="http://schemas.openxmlformats.org/officeDocument/2006/relationships/hyperlink" Target="https://docs.google.com/document/d/1pno00qGhCeX0voctn7HPQppX6Snd82lLpUVWaja8ydA/edit?tab=t.0" TargetMode="External"/><Relationship Id="rId5" Type="http://schemas.openxmlformats.org/officeDocument/2006/relationships/hyperlink" Target="https://docs.google.com/document/d/1NnVeb9Q_UtcVkNYhM1A0y9Y8NDtPBxoasQbk9hqgzzM/edit?tab=t.0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36MdVC_QCVo6nG3tSBqjnsGWS2jfshIFjGFGQki6CiE/edit?tab=t.0" TargetMode="External"/><Relationship Id="rId2" Type="http://schemas.openxmlformats.org/officeDocument/2006/relationships/hyperlink" Target="https://docs.google.com/document/d/18jaN6oINKHwRxDXyRMIqPCDvez8sUYekNkRoYhEoEP4/edit?tab=t.0" TargetMode="External"/><Relationship Id="rId3" Type="http://schemas.openxmlformats.org/officeDocument/2006/relationships/hyperlink" Target="https://docs.google.com/document/d/1DGr7SCTkmxlKqH3SOW3tDkIJKhAba0vmS6rmqq56TOM/edit?tab=t.0" TargetMode="External"/><Relationship Id="rId4" Type="http://schemas.openxmlformats.org/officeDocument/2006/relationships/hyperlink" Target="https://docs.google.com/document/d/1Tc3NyZPQfMhix28CFsbRw7rJUlxZD9a5otGtWGZdr_A/edit?tab=t.0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docs.google.com/document/d/1HzJRNOPpzTMGj50T4aUWxZyJukBNVcuyahj9GQVsTPQ/edit?tab=t.0" TargetMode="External"/><Relationship Id="rId5" Type="http://schemas.openxmlformats.org/officeDocument/2006/relationships/hyperlink" Target="https://docs.google.com/document/d/1XqoCGa5ErBd7Y_ACAQK5-obanK43IXZyJa-hnTrVHF0/edit?tab=t.0" TargetMode="External"/><Relationship Id="rId6" Type="http://schemas.openxmlformats.org/officeDocument/2006/relationships/hyperlink" Target="https://docs.google.com/document/d/1Jw4iW-fdZPq6eYdSpr4XHpp1RMp-xY83yjiCEOZvkWY/edit?tab=t.0" TargetMode="External"/><Relationship Id="rId7" Type="http://schemas.openxmlformats.org/officeDocument/2006/relationships/hyperlink" Target="https://docs.google.com/document/d/1_5AYskYMEAB4ASMjrULAYMZMLeD97lhKLmcqVO_hQ7Y/edit?tab=t.0" TargetMode="External"/><Relationship Id="rId8" Type="http://schemas.openxmlformats.org/officeDocument/2006/relationships/hyperlink" Target="https://docs.google.com/document/d/1rCKGx6cJnVMM_IDKoKyPZkwsOtyMc7hZHY3k_eX7bGs/edit?tab=t.0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ljFbn1qwJszDDzjWeLr3kjc6idzEsrEDoDcAMuLW4Y4/edit?tab=t.0" TargetMode="External"/><Relationship Id="rId10" Type="http://schemas.openxmlformats.org/officeDocument/2006/relationships/hyperlink" Target="https://docs.google.com/document/d/1wHmLh7yFGRB8NQKU_HRUWeztFIGSXuhQgm1Y_QmC4Ko/edit?tab=t.0" TargetMode="External"/><Relationship Id="rId13" Type="http://schemas.openxmlformats.org/officeDocument/2006/relationships/hyperlink" Target="https://docs.google.com/document/d/13Yk1jE56WmnyIuWqccRTG-B6Jxf6KnONf_ze8l8MGFg/edit?tab=t.0" TargetMode="External"/><Relationship Id="rId12" Type="http://schemas.openxmlformats.org/officeDocument/2006/relationships/hyperlink" Target="https://docs.google.com/document/d/1ThboGl1-qFQFtUKAbOw4CxtU1IRijJh4vsehdIEexlU/edit?tab=t.0" TargetMode="External"/><Relationship Id="rId1" Type="http://schemas.openxmlformats.org/officeDocument/2006/relationships/hyperlink" Target="https://docs.google.com/document/d/1T2zJE-CBa1aICCbY1VWI9taw0bQWfLCpvifVV2aBTRc/edit?tab=t.0" TargetMode="External"/><Relationship Id="rId2" Type="http://schemas.openxmlformats.org/officeDocument/2006/relationships/hyperlink" Target="https://docs.google.com/document/d/1uH52epEyf0Uddi3K-6jdYNYSu8eVKAiRog8FJU1vaKQ/edit?tab=t.0" TargetMode="External"/><Relationship Id="rId3" Type="http://schemas.openxmlformats.org/officeDocument/2006/relationships/hyperlink" Target="https://docs.google.com/document/d/10tGETjYq45_QN3451m_K5SAUbZ_7r--kERmHxNeaAPI/edit?tab=t.0" TargetMode="External"/><Relationship Id="rId4" Type="http://schemas.openxmlformats.org/officeDocument/2006/relationships/hyperlink" Target="https://docs.google.com/document/d/1h6i7a4fo-c2c2lubL9Ix6WS0K6_eTTmYh5htiRKK0Vk/edit?tab=t.0" TargetMode="External"/><Relationship Id="rId9" Type="http://schemas.openxmlformats.org/officeDocument/2006/relationships/hyperlink" Target="https://docs.google.com/document/d/1ecK_Tpr-kYlGpy9VeLBWh2wPozshF2UDL25VOlZrVOg/edit?tab=t.0" TargetMode="External"/><Relationship Id="rId15" Type="http://schemas.openxmlformats.org/officeDocument/2006/relationships/hyperlink" Target="https://docs.google.com/document/d/1KqbmwUEQ5iP4Vg8aHBav2rWkWulM3h0YdhKjzQmMs3A/edit?tab=t.0" TargetMode="External"/><Relationship Id="rId14" Type="http://schemas.openxmlformats.org/officeDocument/2006/relationships/hyperlink" Target="https://docs.google.com/document/d/1c7LBSdxmacji0NevEFVwRYBJgkkDoQ8vyeQchGG89tk/edit?tab=t.0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https://docs.google.com/document/d/1F9FhyjMeMBZlsSCNpAu11T1vPZFjZDb7w284iQ-KiPc/edit?tab=t.0" TargetMode="External"/><Relationship Id="rId6" Type="http://schemas.openxmlformats.org/officeDocument/2006/relationships/hyperlink" Target="https://docs.google.com/document/d/18ZhASmBFxkwh2HL-lCWKIG8pa7l1QixknpVEg90y4zQ/edit?tab=t.0" TargetMode="External"/><Relationship Id="rId7" Type="http://schemas.openxmlformats.org/officeDocument/2006/relationships/hyperlink" Target="https://docs.google.com/document/d/1kJlqOvv9qp5G0ekF41kNiVf5u7zZPfqqzKAW0wQINN8/edit?tab=t.0" TargetMode="External"/><Relationship Id="rId8" Type="http://schemas.openxmlformats.org/officeDocument/2006/relationships/hyperlink" Target="https://docs.google.com/document/d/1vUqfde5dKE2A91-VB4B8hrwWzvWPxpzZ2_tUpIJpCL8/edit?tab=t.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OlZQtUQEkoFfBli-eehlohaLyFkPkOv6HujeCvGBf0/edit?tab=t.0" TargetMode="External"/><Relationship Id="rId2" Type="http://schemas.openxmlformats.org/officeDocument/2006/relationships/hyperlink" Target="https://docs.google.com/document/d/1--kKvpI7OvleZ9n1VafGdfP8CcdGlY34kEGNcCCLHI8/edit?tab=t.0" TargetMode="External"/><Relationship Id="rId3" Type="http://schemas.openxmlformats.org/officeDocument/2006/relationships/hyperlink" Target="https://docs.google.com/document/d/1gS28HEYhQeTxaEDah1dVvBC6uPqzQT5eBT2vKju7AZo/edit?tab=t.0" TargetMode="External"/><Relationship Id="rId4" Type="http://schemas.openxmlformats.org/officeDocument/2006/relationships/hyperlink" Target="https://docs.google.com/document/d/1cjHccp1JShpViqCv9zCxtJS-pGnZcuOxyHmky-sv1cQ/edit?tab=t.0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docs.google.com/document/d/1aDr_hMszcxbRDHgcP3PPHYYKLPD1xrospqjORFnTlM8/edit?tab=t.0" TargetMode="External"/><Relationship Id="rId6" Type="http://schemas.openxmlformats.org/officeDocument/2006/relationships/hyperlink" Target="https://docs.google.com/document/d/1r7CHqq5p63fJC2B2cc_VLxySD02-eEld6VFCJQFEveY/edit?tab=t.0" TargetMode="External"/><Relationship Id="rId7" Type="http://schemas.openxmlformats.org/officeDocument/2006/relationships/hyperlink" Target="https://docs.google.com/document/d/1eOqxo8yehoPZ2ATlF83aYf0emiwNMlv407UUjLTY6dU/edit?tab=t.0" TargetMode="External"/><Relationship Id="rId8" Type="http://schemas.openxmlformats.org/officeDocument/2006/relationships/hyperlink" Target="https://docs.google.com/document/d/1Mc2wUMsnG6-pYCbbovoKDO63xckI24AxG9GamKE-_1A/edit?tab=t.0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t7o3OP44uDJcAHWn1I4fryqzUDRM_NXmKVqWVtD5fVY/edit?tab=t.0" TargetMode="External"/><Relationship Id="rId10" Type="http://schemas.openxmlformats.org/officeDocument/2006/relationships/hyperlink" Target="https://docs.google.com/document/d/1C6b13rzli8KbxnNEETh6QXsOHBjqehqLfRzb3JI0w8A/edit?tab=t.0" TargetMode="External"/><Relationship Id="rId13" Type="http://schemas.openxmlformats.org/officeDocument/2006/relationships/hyperlink" Target="https://docs.google.com/document/d/1UQwibWsw0PLTjeehF3bB5k-mHFlf0NeqZEHr4cpHK_0/edit?tab=t.0" TargetMode="External"/><Relationship Id="rId12" Type="http://schemas.openxmlformats.org/officeDocument/2006/relationships/hyperlink" Target="https://docs.google.com/document/d/17CHHvOY65_nrltm1Byv8TuNOi6JxO0zGsIpQgGU-h6k/edit?tab=t.0" TargetMode="External"/><Relationship Id="rId1" Type="http://schemas.openxmlformats.org/officeDocument/2006/relationships/hyperlink" Target="https://docs.google.com/document/d/1mJsLLQGSXXWubQSiXkxlbUTH_RLyKkl7pHvfWSLbDeE/edit?tab=t.0" TargetMode="External"/><Relationship Id="rId2" Type="http://schemas.openxmlformats.org/officeDocument/2006/relationships/hyperlink" Target="https://docs.google.com/document/d/1vx8GBAzKcsfLTZFtH2EbPsIrUiLP-GwUq-4TmZciqDE/edit?tab=t.0" TargetMode="External"/><Relationship Id="rId3" Type="http://schemas.openxmlformats.org/officeDocument/2006/relationships/hyperlink" Target="https://docs.google.com/document/d/1RBeKkkOCoS_LBLZIMpm1EuS_10bAIN94lrYzY6YXmvk/edit?tab=t.0" TargetMode="External"/><Relationship Id="rId4" Type="http://schemas.openxmlformats.org/officeDocument/2006/relationships/hyperlink" Target="https://docs.google.com/document/d/1tP9uJ3lhJr4JyfU1T_KzlatlDwu4Q88FkBgtfM36UE8/edit?tab=t.0" TargetMode="External"/><Relationship Id="rId9" Type="http://schemas.openxmlformats.org/officeDocument/2006/relationships/hyperlink" Target="https://docs.google.com/document/d/1WYpoyd_JJhcJfjcfrCCH51kTcqlpcG25ZzvY3diyWz0/edit?tab=t.0" TargetMode="External"/><Relationship Id="rId14" Type="http://schemas.openxmlformats.org/officeDocument/2006/relationships/drawing" Target="../drawings/drawing5.xml"/><Relationship Id="rId5" Type="http://schemas.openxmlformats.org/officeDocument/2006/relationships/hyperlink" Target="https://docs.google.com/document/d/1PWBgjXS0kgCWiM5YhsZUSHczX3Rl1-Yxzwt-sI8GnvI/edit?tab=t.0" TargetMode="External"/><Relationship Id="rId6" Type="http://schemas.openxmlformats.org/officeDocument/2006/relationships/hyperlink" Target="https://docs.google.com/document/d/1c5ODM2VkhadBjdhTistK5u5zgkpUnUCMds5cCWi0nvc/edit?tab=t.0" TargetMode="External"/><Relationship Id="rId7" Type="http://schemas.openxmlformats.org/officeDocument/2006/relationships/hyperlink" Target="https://docs.google.com/document/d/1kmKaTcXdfQcQ6y7LOSzAVkU_t5I6Kmf7QYFAzCS5g-Q/edit?tab=t.0" TargetMode="External"/><Relationship Id="rId8" Type="http://schemas.openxmlformats.org/officeDocument/2006/relationships/hyperlink" Target="https://docs.google.com/document/d/1t_CTtQFWQuSjbCXSHWB4CCYuEhZ8YilAPwwY_dnD6Ss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7.5"/>
    <col customWidth="1" min="3" max="3" width="18.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>
        <f>IFERROR(__xludf.DUMMYFUNCTION("VALUE(REGEXEXTRACT(A2, ""^(\d+)""))"),1.0)</f>
        <v>1</v>
      </c>
      <c r="C2" s="2" t="s">
        <v>5</v>
      </c>
      <c r="D2" s="2" t="s">
        <v>6</v>
      </c>
    </row>
    <row r="3">
      <c r="A3" s="3" t="s">
        <v>7</v>
      </c>
      <c r="B3" s="4">
        <f>IFERROR(__xludf.DUMMYFUNCTION("VALUE(REGEXEXTRACT(A3, ""^(\d+)""))"),2.0)</f>
        <v>2</v>
      </c>
      <c r="C3" s="2" t="s">
        <v>5</v>
      </c>
      <c r="D3" s="2" t="s">
        <v>8</v>
      </c>
    </row>
    <row r="4">
      <c r="A4" s="5" t="s">
        <v>9</v>
      </c>
      <c r="B4" s="4">
        <f>IFERROR(__xludf.DUMMYFUNCTION("VALUE(REGEXEXTRACT(A4, ""^(\d+)""))"),3.0)</f>
        <v>3</v>
      </c>
      <c r="C4" s="2" t="s">
        <v>5</v>
      </c>
      <c r="D4" s="2" t="s">
        <v>8</v>
      </c>
    </row>
    <row r="5">
      <c r="A5" s="3" t="s">
        <v>10</v>
      </c>
      <c r="B5" s="4">
        <f>IFERROR(__xludf.DUMMYFUNCTION("VALUE(REGEXEXTRACT(A5, ""^(\d+)""))"),4.0)</f>
        <v>4</v>
      </c>
      <c r="C5" s="2" t="s">
        <v>5</v>
      </c>
      <c r="D5" s="2" t="s">
        <v>8</v>
      </c>
    </row>
    <row r="6">
      <c r="A6" s="3" t="s">
        <v>11</v>
      </c>
      <c r="B6" s="4">
        <f>IFERROR(__xludf.DUMMYFUNCTION("VALUE(REGEXEXTRACT(A6, ""^(\d+)""))"),5.0)</f>
        <v>5</v>
      </c>
      <c r="C6" s="2" t="s">
        <v>5</v>
      </c>
      <c r="D6" s="2" t="s">
        <v>8</v>
      </c>
    </row>
    <row r="7">
      <c r="A7" s="6"/>
    </row>
    <row r="8">
      <c r="A8" s="1"/>
    </row>
    <row r="9">
      <c r="A9" s="6"/>
    </row>
    <row r="10">
      <c r="A10" s="6"/>
    </row>
    <row r="11">
      <c r="A11" s="6"/>
    </row>
    <row r="12">
      <c r="A12" s="6"/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</sheetData>
  <hyperlinks>
    <hyperlink r:id="rId1" ref="A2"/>
    <hyperlink r:id="rId2" ref="A3"/>
    <hyperlink r:id="rId3" ref="A4"/>
    <hyperlink r:id="rId4" ref="A5"/>
    <hyperlink r:id="rId5" ref="A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7" t="s">
        <v>12</v>
      </c>
      <c r="B2" s="4">
        <f>IFERROR(__xludf.DUMMYFUNCTION("VALUE(REGEXEXTRACT(A2, ""^(\d+)""))"),6.0)</f>
        <v>6</v>
      </c>
      <c r="C2" s="2" t="s">
        <v>5</v>
      </c>
      <c r="D2" s="2" t="s">
        <v>8</v>
      </c>
    </row>
    <row r="3">
      <c r="A3" s="7" t="s">
        <v>13</v>
      </c>
      <c r="B3" s="4">
        <f>IFERROR(__xludf.DUMMYFUNCTION("VALUE(REGEXEXTRACT(A3, ""^(\d+)""))"),31.0)</f>
        <v>31</v>
      </c>
      <c r="C3" s="2" t="s">
        <v>5</v>
      </c>
      <c r="D3" s="2" t="s">
        <v>14</v>
      </c>
    </row>
    <row r="4">
      <c r="A4" s="7" t="s">
        <v>15</v>
      </c>
      <c r="B4" s="4">
        <f>IFERROR(__xludf.DUMMYFUNCTION("VALUE(REGEXEXTRACT(A4, ""^(\d+)""))"),27.0)</f>
        <v>27</v>
      </c>
      <c r="C4" s="2" t="s">
        <v>5</v>
      </c>
      <c r="D4" s="2" t="s">
        <v>14</v>
      </c>
    </row>
    <row r="5">
      <c r="A5" s="7" t="s">
        <v>16</v>
      </c>
      <c r="B5" s="4">
        <f>IFERROR(__xludf.DUMMYFUNCTION("VALUE(REGEXEXTRACT(A5, ""^(\d+)""))"),29.0)</f>
        <v>29</v>
      </c>
      <c r="D5" s="2" t="s">
        <v>14</v>
      </c>
    </row>
    <row r="6">
      <c r="A6" s="7" t="s">
        <v>17</v>
      </c>
      <c r="B6" s="4">
        <f>IFERROR(__xludf.DUMMYFUNCTION("VALUE(REGEXEXTRACT(A6, ""^(\d+)""))"),20.0)</f>
        <v>20</v>
      </c>
      <c r="D6" s="2" t="s">
        <v>14</v>
      </c>
    </row>
    <row r="7">
      <c r="A7" s="7" t="s">
        <v>18</v>
      </c>
      <c r="B7" s="4">
        <f>IFERROR(__xludf.DUMMYFUNCTION("VALUE(REGEXEXTRACT(A7, ""^(\d+)""))"),10.0)</f>
        <v>10</v>
      </c>
      <c r="D7" s="2" t="s">
        <v>19</v>
      </c>
    </row>
    <row r="8">
      <c r="A8" s="7" t="s">
        <v>20</v>
      </c>
      <c r="B8" s="4">
        <f>IFERROR(__xludf.DUMMYFUNCTION("VALUE(REGEXEXTRACT(A8, ""^(\d+)""))"),14.0)</f>
        <v>14</v>
      </c>
      <c r="D8" s="2" t="s">
        <v>19</v>
      </c>
    </row>
    <row r="9">
      <c r="A9" s="7" t="s">
        <v>21</v>
      </c>
      <c r="B9" s="4">
        <f>IFERROR(__xludf.DUMMYFUNCTION("VALUE(REGEXEXTRACT(A9, ""^(\d+)""))"),16.0)</f>
        <v>16</v>
      </c>
      <c r="D9" s="2" t="s">
        <v>19</v>
      </c>
    </row>
    <row r="10">
      <c r="A10" s="7" t="s">
        <v>22</v>
      </c>
      <c r="B10" s="4">
        <f>IFERROR(__xludf.DUMMYFUNCTION("VALUE(REGEXEXTRACT(A10, ""^(\d+)""))"),13.0)</f>
        <v>13</v>
      </c>
      <c r="D10" s="2" t="s">
        <v>19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63"/>
  </cols>
  <sheetData>
    <row r="1">
      <c r="A1" s="1" t="s">
        <v>0</v>
      </c>
      <c r="B1" s="2" t="s">
        <v>1</v>
      </c>
      <c r="C1" s="2" t="s">
        <v>23</v>
      </c>
      <c r="D1" s="2" t="s">
        <v>3</v>
      </c>
    </row>
    <row r="2">
      <c r="A2" s="8" t="s">
        <v>24</v>
      </c>
      <c r="B2" s="4">
        <f>IFERROR(__xludf.DUMMYFUNCTION("VALUE(REGEXEXTRACT(A2, ""^(\d+)""))"),34.0)</f>
        <v>34</v>
      </c>
      <c r="D2" s="2" t="s">
        <v>25</v>
      </c>
      <c r="E2" s="2" t="s">
        <v>26</v>
      </c>
    </row>
    <row r="3">
      <c r="A3" s="8" t="s">
        <v>27</v>
      </c>
      <c r="B3" s="4">
        <f>IFERROR(__xludf.DUMMYFUNCTION("VALUE(REGEXEXTRACT(A3, ""^(\d+)""))"),23.0)</f>
        <v>23</v>
      </c>
      <c r="D3" s="2" t="s">
        <v>25</v>
      </c>
      <c r="E3" s="2" t="s">
        <v>26</v>
      </c>
    </row>
    <row r="4">
      <c r="A4" s="8" t="s">
        <v>28</v>
      </c>
      <c r="B4" s="4">
        <f>IFERROR(__xludf.DUMMYFUNCTION("VALUE(REGEXEXTRACT(A4, ""^(\d+)""))"),15.0)</f>
        <v>15</v>
      </c>
      <c r="D4" s="2" t="s">
        <v>19</v>
      </c>
      <c r="E4" s="2" t="s">
        <v>26</v>
      </c>
    </row>
    <row r="5">
      <c r="A5" s="8" t="s">
        <v>29</v>
      </c>
      <c r="B5" s="4">
        <f>IFERROR(__xludf.DUMMYFUNCTION("VALUE(REGEXEXTRACT(A5, ""^(\d+)""))"),26.0)</f>
        <v>26</v>
      </c>
      <c r="D5" s="2" t="s">
        <v>25</v>
      </c>
      <c r="E5" s="2" t="s">
        <v>26</v>
      </c>
    </row>
    <row r="6">
      <c r="A6" s="8" t="s">
        <v>30</v>
      </c>
      <c r="B6" s="4">
        <f>IFERROR(__xludf.DUMMYFUNCTION("VALUE(REGEXEXTRACT(A6, ""^(\d+)""))"),9.0)</f>
        <v>9</v>
      </c>
      <c r="D6" s="2" t="s">
        <v>19</v>
      </c>
      <c r="E6" s="2" t="s">
        <v>26</v>
      </c>
    </row>
    <row r="7">
      <c r="A7" s="9" t="s">
        <v>31</v>
      </c>
      <c r="B7" s="4">
        <f>IFERROR(__xludf.DUMMYFUNCTION("VALUE(REGEXEXTRACT(A7, ""^(\d+)""))"),8.0)</f>
        <v>8</v>
      </c>
      <c r="D7" s="2" t="s">
        <v>19</v>
      </c>
      <c r="E7" s="2" t="s">
        <v>32</v>
      </c>
    </row>
    <row r="8">
      <c r="A8" s="9" t="s">
        <v>33</v>
      </c>
      <c r="B8" s="4">
        <f>IFERROR(__xludf.DUMMYFUNCTION("VALUE(REGEXEXTRACT(A8, ""^(\d+)""))"),25.0)</f>
        <v>25</v>
      </c>
      <c r="D8" s="2" t="s">
        <v>25</v>
      </c>
      <c r="E8" s="2" t="s">
        <v>32</v>
      </c>
    </row>
    <row r="9">
      <c r="A9" s="9" t="s">
        <v>34</v>
      </c>
      <c r="B9" s="4">
        <f>IFERROR(__xludf.DUMMYFUNCTION("VALUE(REGEXEXTRACT(A9, ""^(\d+)""))"),17.0)</f>
        <v>17</v>
      </c>
      <c r="D9" s="2" t="s">
        <v>25</v>
      </c>
      <c r="E9" s="2" t="s">
        <v>32</v>
      </c>
    </row>
    <row r="10">
      <c r="A10" s="9" t="s">
        <v>35</v>
      </c>
      <c r="B10" s="4">
        <f>IFERROR(__xludf.DUMMYFUNCTION("VALUE(REGEXEXTRACT(A10, ""^(\d+)""))"),18.0)</f>
        <v>18</v>
      </c>
      <c r="D10" s="2" t="s">
        <v>25</v>
      </c>
      <c r="E10" s="2" t="s">
        <v>32</v>
      </c>
    </row>
    <row r="11">
      <c r="A11" s="9" t="s">
        <v>36</v>
      </c>
      <c r="B11" s="4">
        <f>IFERROR(__xludf.DUMMYFUNCTION("VALUE(REGEXEXTRACT(A11, ""^(\d+)""))"),11.0)</f>
        <v>11</v>
      </c>
      <c r="D11" s="2" t="s">
        <v>19</v>
      </c>
      <c r="E11" s="2" t="s">
        <v>32</v>
      </c>
    </row>
    <row r="12">
      <c r="A12" s="10" t="s">
        <v>37</v>
      </c>
      <c r="B12" s="4">
        <f>IFERROR(__xludf.DUMMYFUNCTION("VALUE(REGEXEXTRACT(A12, ""^(\d+)""))"),12.0)</f>
        <v>12</v>
      </c>
      <c r="D12" s="2" t="s">
        <v>19</v>
      </c>
      <c r="E12" s="2" t="s">
        <v>38</v>
      </c>
    </row>
    <row r="13">
      <c r="A13" s="10" t="s">
        <v>39</v>
      </c>
      <c r="B13" s="4">
        <f>IFERROR(__xludf.DUMMYFUNCTION("VALUE(REGEXEXTRACT(A13, ""^(\d+)""))"),19.0)</f>
        <v>19</v>
      </c>
      <c r="D13" s="2" t="s">
        <v>25</v>
      </c>
      <c r="E13" s="2" t="s">
        <v>38</v>
      </c>
    </row>
    <row r="14">
      <c r="A14" s="10" t="s">
        <v>40</v>
      </c>
      <c r="B14" s="4">
        <f>IFERROR(__xludf.DUMMYFUNCTION("VALUE(REGEXEXTRACT(A14, ""^(\d+)""))"),7.0)</f>
        <v>7</v>
      </c>
      <c r="D14" s="2" t="s">
        <v>8</v>
      </c>
      <c r="E14" s="2" t="s">
        <v>38</v>
      </c>
    </row>
    <row r="15">
      <c r="A15" s="10" t="s">
        <v>41</v>
      </c>
      <c r="B15" s="4">
        <f>IFERROR(__xludf.DUMMYFUNCTION("VALUE(REGEXEXTRACT(A15, ""^(\d+)""))"),35.0)</f>
        <v>35</v>
      </c>
      <c r="D15" s="2" t="s">
        <v>25</v>
      </c>
      <c r="E15" s="2" t="s">
        <v>38</v>
      </c>
    </row>
    <row r="16">
      <c r="A16" s="10" t="s">
        <v>42</v>
      </c>
      <c r="B16" s="4">
        <f>IFERROR(__xludf.DUMMYFUNCTION("VALUE(REGEXEXTRACT(A16, ""^(\d+)""))"),37.0)</f>
        <v>37</v>
      </c>
      <c r="D16" s="2" t="s">
        <v>43</v>
      </c>
      <c r="E16" s="2" t="s">
        <v>38</v>
      </c>
    </row>
  </sheetData>
  <hyperlinks>
    <hyperlink r:id="rId1" ref="A2"/>
    <hyperlink r:id="rId2" location="heading=h.udqt6jofxn49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</hyperlinks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88"/>
  </cols>
  <sheetData>
    <row r="1">
      <c r="A1" s="1" t="s">
        <v>0</v>
      </c>
      <c r="B1" s="2" t="s">
        <v>1</v>
      </c>
      <c r="C1" s="2" t="s">
        <v>23</v>
      </c>
      <c r="D1" s="2" t="s">
        <v>3</v>
      </c>
      <c r="H1" s="1"/>
    </row>
    <row r="2">
      <c r="A2" s="11" t="s">
        <v>44</v>
      </c>
      <c r="B2" s="4">
        <f>IFERROR(__xludf.DUMMYFUNCTION("VALUE(REGEXEXTRACT(A2, ""^(\d+)""))"),21.0)</f>
        <v>21</v>
      </c>
      <c r="D2" s="2" t="s">
        <v>25</v>
      </c>
    </row>
    <row r="3">
      <c r="A3" s="11" t="s">
        <v>45</v>
      </c>
      <c r="B3" s="4">
        <f>IFERROR(__xludf.DUMMYFUNCTION("VALUE(REGEXEXTRACT(A3, ""^(\d+)""))"),22.0)</f>
        <v>22</v>
      </c>
      <c r="D3" s="2" t="s">
        <v>25</v>
      </c>
    </row>
    <row r="4">
      <c r="A4" s="11" t="s">
        <v>46</v>
      </c>
      <c r="B4" s="4">
        <f>IFERROR(__xludf.DUMMYFUNCTION("VALUE(REGEXEXTRACT(A4, ""^(\d+)""))"),24.0)</f>
        <v>24</v>
      </c>
      <c r="D4" s="2" t="s">
        <v>25</v>
      </c>
    </row>
    <row r="5">
      <c r="A5" s="11" t="s">
        <v>47</v>
      </c>
      <c r="B5" s="4">
        <f>IFERROR(__xludf.DUMMYFUNCTION("VALUE(REGEXEXTRACT(A5, ""^(\d+)""))"),28.0)</f>
        <v>28</v>
      </c>
      <c r="D5" s="2" t="s">
        <v>25</v>
      </c>
    </row>
    <row r="6">
      <c r="A6" s="11" t="s">
        <v>48</v>
      </c>
      <c r="B6" s="4">
        <f>IFERROR(__xludf.DUMMYFUNCTION("VALUE(REGEXEXTRACT(A6, ""^(\d+)""))"),30.0)</f>
        <v>30</v>
      </c>
      <c r="D6" s="2" t="s">
        <v>25</v>
      </c>
    </row>
    <row r="7">
      <c r="A7" s="12" t="s">
        <v>49</v>
      </c>
      <c r="B7" s="4">
        <f>IFERROR(__xludf.DUMMYFUNCTION("VALUE(REGEXEXTRACT(A7, ""^(\d+)""))"),32.0)</f>
        <v>32</v>
      </c>
      <c r="D7" s="2" t="s">
        <v>25</v>
      </c>
    </row>
    <row r="8">
      <c r="A8" s="12" t="s">
        <v>50</v>
      </c>
      <c r="B8" s="4">
        <f>IFERROR(__xludf.DUMMYFUNCTION("VALUE(REGEXEXTRACT(A8, ""^(\d+)""))"),33.0)</f>
        <v>33</v>
      </c>
      <c r="D8" s="2" t="s">
        <v>25</v>
      </c>
    </row>
    <row r="9">
      <c r="A9" s="12" t="s">
        <v>51</v>
      </c>
      <c r="B9" s="4">
        <f>IFERROR(__xludf.DUMMYFUNCTION("VALUE(REGEXEXTRACT(A9, ""^(\d+)""))"),36.0)</f>
        <v>36</v>
      </c>
      <c r="D9" s="2" t="s">
        <v>25</v>
      </c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hyperlinks>
    <hyperlink r:id="rId1" ref="A2"/>
    <hyperlink r:id="rId2" location="heading=h.2zxtdbm39lw4" ref="A3"/>
    <hyperlink r:id="rId3" ref="A4"/>
    <hyperlink r:id="rId4" ref="A5"/>
    <hyperlink r:id="rId5" location="heading=h.rxgzrkrsf1xe" ref="A6"/>
    <hyperlink r:id="rId6" location="heading=h.gff3af66a82u" ref="A7"/>
    <hyperlink r:id="rId7" ref="A8"/>
    <hyperlink r:id="rId8" ref="A9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38"/>
  </cols>
  <sheetData>
    <row r="1">
      <c r="A1" s="1" t="s">
        <v>0</v>
      </c>
      <c r="B1" s="2" t="s">
        <v>1</v>
      </c>
      <c r="C1" s="2" t="s">
        <v>23</v>
      </c>
      <c r="D1" s="2" t="s">
        <v>3</v>
      </c>
    </row>
    <row r="2">
      <c r="A2" s="12" t="s">
        <v>52</v>
      </c>
      <c r="B2" s="4">
        <f>IFERROR(__xludf.DUMMYFUNCTION("VALUE(REGEXEXTRACT(A2, ""^(\d+)""))"),38.0)</f>
        <v>38</v>
      </c>
      <c r="D2" s="2" t="s">
        <v>6</v>
      </c>
    </row>
    <row r="3">
      <c r="A3" s="12" t="s">
        <v>53</v>
      </c>
      <c r="B3" s="4">
        <f>IFERROR(__xludf.DUMMYFUNCTION("VALUE(REGEXEXTRACT(A3, ""^(\d+)""))"),39.0)</f>
        <v>39</v>
      </c>
      <c r="D3" s="2" t="s">
        <v>6</v>
      </c>
    </row>
    <row r="4">
      <c r="A4" s="13" t="s">
        <v>54</v>
      </c>
      <c r="B4" s="4">
        <f>IFERROR(__xludf.DUMMYFUNCTION("VALUE(REGEXEXTRACT(A4, ""^(\d+)""))"),40.0)</f>
        <v>40</v>
      </c>
      <c r="D4" s="2" t="s">
        <v>6</v>
      </c>
    </row>
    <row r="5">
      <c r="A5" s="13" t="s">
        <v>55</v>
      </c>
      <c r="B5" s="4">
        <f>IFERROR(__xludf.DUMMYFUNCTION("VALUE(REGEXEXTRACT(A5, ""^(\d+)""))"),41.0)</f>
        <v>41</v>
      </c>
      <c r="D5" s="2" t="s">
        <v>6</v>
      </c>
    </row>
    <row r="6">
      <c r="A6" s="13" t="s">
        <v>56</v>
      </c>
      <c r="B6" s="4">
        <f>IFERROR(__xludf.DUMMYFUNCTION("VALUE(REGEXEXTRACT(A6, ""^(\d+)""))"),42.0)</f>
        <v>42</v>
      </c>
      <c r="D6" s="2" t="s">
        <v>6</v>
      </c>
    </row>
    <row r="7">
      <c r="A7" s="13" t="s">
        <v>57</v>
      </c>
      <c r="B7" s="4">
        <f>IFERROR(__xludf.DUMMYFUNCTION("VALUE(REGEXEXTRACT(A7, ""^(\d+)""))"),43.0)</f>
        <v>43</v>
      </c>
      <c r="D7" s="2" t="s">
        <v>6</v>
      </c>
    </row>
    <row r="8">
      <c r="A8" s="13" t="s">
        <v>58</v>
      </c>
      <c r="B8" s="4">
        <f>IFERROR(__xludf.DUMMYFUNCTION("VALUE(REGEXEXTRACT(A8, ""^(\d+)""))"),44.0)</f>
        <v>44</v>
      </c>
      <c r="D8" s="2" t="s">
        <v>6</v>
      </c>
    </row>
    <row r="9">
      <c r="A9" s="14" t="s">
        <v>59</v>
      </c>
      <c r="B9" s="4">
        <f>IFERROR(__xludf.DUMMYFUNCTION("VALUE(REGEXEXTRACT(A9, ""^(\d+)""))"),45.0)</f>
        <v>45</v>
      </c>
      <c r="D9" s="2" t="s">
        <v>6</v>
      </c>
    </row>
    <row r="10">
      <c r="A10" s="14" t="s">
        <v>60</v>
      </c>
      <c r="B10" s="4">
        <f>IFERROR(__xludf.DUMMYFUNCTION("VALUE(REGEXEXTRACT(A10, ""^(\d+)""))"),46.0)</f>
        <v>46</v>
      </c>
      <c r="D10" s="2" t="s">
        <v>6</v>
      </c>
    </row>
    <row r="11">
      <c r="A11" s="15" t="s">
        <v>61</v>
      </c>
      <c r="B11" s="4">
        <f>IFERROR(__xludf.DUMMYFUNCTION("VALUE(REGEXEXTRACT(A11, ""^(\d+)""))"),48.0)</f>
        <v>48</v>
      </c>
      <c r="D11" s="2" t="s">
        <v>6</v>
      </c>
    </row>
    <row r="12">
      <c r="A12" s="14" t="s">
        <v>62</v>
      </c>
      <c r="B12" s="4">
        <f>IFERROR(__xludf.DUMMYFUNCTION("VALUE(REGEXEXTRACT(A12, ""^(\d+)""))"),49.0)</f>
        <v>49</v>
      </c>
      <c r="D12" s="2" t="s">
        <v>6</v>
      </c>
    </row>
    <row r="13">
      <c r="A13" s="14" t="s">
        <v>63</v>
      </c>
      <c r="B13" s="4">
        <f>IFERROR(__xludf.DUMMYFUNCTION("VALUE(REGEXEXTRACT(A13, ""^(\d+)""))"),50.0)</f>
        <v>50</v>
      </c>
      <c r="D13" s="2" t="s">
        <v>6</v>
      </c>
    </row>
    <row r="14">
      <c r="A14" s="3" t="s">
        <v>64</v>
      </c>
      <c r="B14" s="4">
        <f>IFERROR(__xludf.DUMMYFUNCTION("VALUE(REGEXEXTRACT(A14, ""^(\d+)""))"),51.0)</f>
        <v>51</v>
      </c>
      <c r="D14" s="2" t="s">
        <v>6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location="heading=h.o4327wflyj07" ref="A12"/>
    <hyperlink r:id="rId12" ref="A13"/>
    <hyperlink r:id="rId13" ref="A14"/>
  </hyperlinks>
  <drawing r:id="rId14"/>
</worksheet>
</file>